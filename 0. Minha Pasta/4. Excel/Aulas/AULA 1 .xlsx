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COM\Human_Resources\01.Engineering_Tech_School\02.Internal\5 - Aprendizes\5 - Análise de dados\2 - Análise de dados 2025\Maria Vichinheski\4. EXCEL\"/>
    </mc:Choice>
  </mc:AlternateContent>
  <xr:revisionPtr revIDLastSave="0" documentId="13_ncr:1_{D1C1CC58-E5C0-4175-A16A-132BF0BF3A12}" xr6:coauthVersionLast="47" xr6:coauthVersionMax="47" xr10:uidLastSave="{00000000-0000-0000-0000-000000000000}"/>
  <bookViews>
    <workbookView xWindow="-28920" yWindow="-120" windowWidth="29040" windowHeight="15720" activeTab="2" xr2:uid="{1679BD84-D47F-4A6F-9D83-1A21E3EA2D84}"/>
  </bookViews>
  <sheets>
    <sheet name="OPERAÇÕES BÁSICAS" sheetId="1" r:id="rId1"/>
    <sheet name="Planilha2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B4" i="2"/>
  <c r="B9" i="2"/>
  <c r="B10" i="2"/>
  <c r="B10" i="3" a="1"/>
  <c r="B10" i="3" s="1"/>
  <c r="M3" i="3"/>
  <c r="M4" i="3"/>
  <c r="M5" i="3"/>
  <c r="M2" i="3"/>
  <c r="B8" i="3" a="1"/>
  <c r="B8" i="3" s="1"/>
  <c r="B8" i="2"/>
  <c r="G20" i="2"/>
  <c r="H20" i="2"/>
  <c r="I20" i="2"/>
  <c r="F20" i="2"/>
  <c r="I11" i="2"/>
  <c r="I12" i="2"/>
  <c r="I13" i="2"/>
  <c r="I14" i="2"/>
  <c r="B6" i="2"/>
  <c r="B5" i="2"/>
  <c r="B3" i="2"/>
  <c r="B2" i="2"/>
  <c r="B1" i="2"/>
  <c r="B12" i="1"/>
  <c r="B13" i="1"/>
  <c r="B10" i="1"/>
  <c r="B11" i="1"/>
  <c r="B6" i="1"/>
  <c r="B5" i="1"/>
  <c r="B4" i="1"/>
  <c r="B3" i="1"/>
  <c r="B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<sst xmlns="http://schemas.openxmlformats.org/spreadsheetml/2006/main" count="97" uniqueCount="72">
  <si>
    <t>A</t>
  </si>
  <si>
    <t xml:space="preserve">B </t>
  </si>
  <si>
    <t>C</t>
  </si>
  <si>
    <t>SOMA</t>
  </si>
  <si>
    <t>SUB</t>
  </si>
  <si>
    <t>MULTI</t>
  </si>
  <si>
    <t>MEDIA</t>
  </si>
  <si>
    <t>ARRED</t>
  </si>
  <si>
    <t>MAXIMO</t>
  </si>
  <si>
    <t xml:space="preserve">MINIMO </t>
  </si>
  <si>
    <t>MAIOR</t>
  </si>
  <si>
    <t>MENOR</t>
  </si>
  <si>
    <t>CONT.VALORES</t>
  </si>
  <si>
    <t>CPMT.NUM</t>
  </si>
  <si>
    <t>SOME.SE</t>
  </si>
  <si>
    <t>SOMA.SES</t>
  </si>
  <si>
    <t>CONT.SE</t>
  </si>
  <si>
    <t>CONT.SES</t>
  </si>
  <si>
    <t>&lt;- casadecimal</t>
  </si>
  <si>
    <t>&lt;-maior valor</t>
  </si>
  <si>
    <t>&lt;- retorna quantidade de valores númericos</t>
  </si>
  <si>
    <t>&lt;-soma se tiver o valor (A) em um intervalor</t>
  </si>
  <si>
    <t>w</t>
  </si>
  <si>
    <t>y</t>
  </si>
  <si>
    <t>&lt;- soma com duas condições</t>
  </si>
  <si>
    <t>CONTA QUANTIDADE DE CÉLULAS</t>
  </si>
  <si>
    <t>&lt;-qual maior (SEGUNDO)</t>
  </si>
  <si>
    <t>&lt;- conta quantidade de valores (células)</t>
  </si>
  <si>
    <t>SE</t>
  </si>
  <si>
    <t>E</t>
  </si>
  <si>
    <t>OU</t>
  </si>
  <si>
    <t>MAXIMOSES</t>
  </si>
  <si>
    <t>MINIMOSES</t>
  </si>
  <si>
    <t>PROCV</t>
  </si>
  <si>
    <t>PROCX</t>
  </si>
  <si>
    <t>SEERRO</t>
  </si>
  <si>
    <t>semestre 1</t>
  </si>
  <si>
    <t>semestre 2</t>
  </si>
  <si>
    <t>semestre 3</t>
  </si>
  <si>
    <t>Recuperaçao</t>
  </si>
  <si>
    <t>&lt;-BOLEANO AND (TRUE, FALSE)</t>
  </si>
  <si>
    <t>&lt;-BOLEANO OR (TRUE, FALSE)</t>
  </si>
  <si>
    <t>Conselho de Classe</t>
  </si>
  <si>
    <t>Aprovado</t>
  </si>
  <si>
    <t>&lt;-TRATA ERROS</t>
  </si>
  <si>
    <t>INDICE</t>
  </si>
  <si>
    <t>CORRESP</t>
  </si>
  <si>
    <t>B</t>
  </si>
  <si>
    <t>&lt;-MAIOR VALOR DE UMA CONDIÇÃO</t>
  </si>
  <si>
    <t>&lt;-MENOR VALOR DE UMA CONDIÇAO</t>
  </si>
  <si>
    <t>G</t>
  </si>
  <si>
    <t>H</t>
  </si>
  <si>
    <t>KARINA</t>
  </si>
  <si>
    <t>JOAO</t>
  </si>
  <si>
    <t>MAURICIO</t>
  </si>
  <si>
    <t>LAURA</t>
  </si>
  <si>
    <t>JANEIRO</t>
  </si>
  <si>
    <t>FEVEREIRO</t>
  </si>
  <si>
    <t>MARÇO</t>
  </si>
  <si>
    <t>MÉDIA SALARIAL</t>
  </si>
  <si>
    <t>&lt;- OPERA MATRIZES E RETORNA VALORES DAS COLUNAS/LINHAS           0-correspondente exato                            1-correspondente aproximado</t>
  </si>
  <si>
    <t>PROCH</t>
  </si>
  <si>
    <t>DESLOC</t>
  </si>
  <si>
    <t>&lt;-A PARTIR DE UMA REFERENCIA É POSSIVEL ACESSAR VALORES</t>
  </si>
  <si>
    <t>BANANA</t>
  </si>
  <si>
    <t>BATATA</t>
  </si>
  <si>
    <t>FEIJÃO</t>
  </si>
  <si>
    <t>SORVETE</t>
  </si>
  <si>
    <t>SOMARPRODUTO</t>
  </si>
  <si>
    <t>PREÇO</t>
  </si>
  <si>
    <t>QTD</t>
  </si>
  <si>
    <t>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</si>
</sst>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0" fillId="2" borderId="0" xfId="0" applyFill="1" applyAlignment="1">
      <alignment vertical="center"/>
    </xf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1" xfId="1" applyFont="1" applyBorder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1FFF4-1444-4F5A-AC19-409BF8A410CC}">
  <dimension ref="A1:G15"/>
  <sheetViews>
    <sheetView showGridLines="0" zoomScale="175" zoomScaleNormal="175" workbookViewId="0">
      <selection activeCell="C15" sqref="C15"/>
    </sheetView>
  </sheetViews>
  <sheetFormatPr defaultRowHeight="15" x14ac:dyDescent="0.25"/>
  <cols>
    <col min="1" max="1" width="14.5703125" bestFit="1" customWidth="1"/>
    <col min="3" max="3" width="28" customWidth="1"/>
    <col min="4" max="4" width="15.140625" customWidth="1"/>
  </cols>
  <sheetData>
    <row r="1" spans="1:7" x14ac:dyDescent="0.25">
      <c r="A1" t="s">
        <v>3</v>
      </c>
      <c r="B1">
        <f>SUM(E1:E2)</f>
        <v>90</v>
      </c>
      <c r="E1">
        <v>40</v>
      </c>
      <c r="F1" t="s">
        <v>0</v>
      </c>
      <c r="G1" t="s">
        <v>22</v>
      </c>
    </row>
    <row r="2" spans="1:7" x14ac:dyDescent="0.25">
      <c r="A2" t="s">
        <v>4</v>
      </c>
      <c r="E2">
        <v>50</v>
      </c>
      <c r="F2" t="s">
        <v>1</v>
      </c>
      <c r="G2" t="s">
        <v>23</v>
      </c>
    </row>
    <row r="3" spans="1:7" x14ac:dyDescent="0.25">
      <c r="A3" t="s">
        <v>5</v>
      </c>
      <c r="B3">
        <f>-PRODUCT(E1:E2)</f>
        <v>-2000</v>
      </c>
      <c r="E3">
        <v>601</v>
      </c>
      <c r="F3" t="s">
        <v>2</v>
      </c>
      <c r="G3" t="s">
        <v>22</v>
      </c>
    </row>
    <row r="4" spans="1:7" x14ac:dyDescent="0.25">
      <c r="A4" t="s">
        <v>6</v>
      </c>
      <c r="B4">
        <f>AVERAGE(E1:E8)</f>
        <v>247</v>
      </c>
      <c r="E4">
        <v>1000</v>
      </c>
      <c r="F4" t="s">
        <v>1</v>
      </c>
      <c r="G4" t="s">
        <v>23</v>
      </c>
    </row>
    <row r="5" spans="1:7" x14ac:dyDescent="0.25">
      <c r="A5" t="s">
        <v>7</v>
      </c>
      <c r="B5">
        <f>ROUND(AVERAGE(E1:E3),1)</f>
        <v>230.3</v>
      </c>
      <c r="C5" t="s">
        <v>18</v>
      </c>
      <c r="E5">
        <v>200</v>
      </c>
      <c r="F5" t="s">
        <v>0</v>
      </c>
      <c r="G5" t="s">
        <v>22</v>
      </c>
    </row>
    <row r="6" spans="1:7" x14ac:dyDescent="0.25">
      <c r="A6" s="1" t="s">
        <v>8</v>
      </c>
      <c r="B6" s="1">
        <f>MAX(E1:E8)</f>
        <v>1000</v>
      </c>
      <c r="C6" t="s">
        <v>19</v>
      </c>
      <c r="E6">
        <v>25</v>
      </c>
      <c r="F6" t="s">
        <v>0</v>
      </c>
      <c r="G6" t="s">
        <v>23</v>
      </c>
    </row>
    <row r="7" spans="1:7" x14ac:dyDescent="0.25">
      <c r="A7" t="s">
        <v>9</v>
      </c>
      <c r="E7">
        <v>50</v>
      </c>
      <c r="F7" t="s">
        <v>1</v>
      </c>
      <c r="G7" t="s">
        <v>22</v>
      </c>
    </row>
    <row r="8" spans="1:7" x14ac:dyDescent="0.25">
      <c r="A8" s="1" t="s">
        <v>10</v>
      </c>
      <c r="B8" s="1">
        <v>2</v>
      </c>
      <c r="C8" t="s">
        <v>26</v>
      </c>
      <c r="E8">
        <v>10</v>
      </c>
      <c r="F8" t="s">
        <v>2</v>
      </c>
      <c r="G8" t="s">
        <v>23</v>
      </c>
    </row>
    <row r="9" spans="1:7" x14ac:dyDescent="0.25">
      <c r="A9" t="s">
        <v>11</v>
      </c>
    </row>
    <row r="10" spans="1:7" ht="36" customHeight="1" x14ac:dyDescent="0.25">
      <c r="A10" t="s">
        <v>12</v>
      </c>
      <c r="B10">
        <f>COUNTA(E1:F8)</f>
        <v>16</v>
      </c>
      <c r="C10" s="2" t="s">
        <v>27</v>
      </c>
    </row>
    <row r="11" spans="1:7" ht="35.25" customHeight="1" x14ac:dyDescent="0.25">
      <c r="A11" t="s">
        <v>13</v>
      </c>
      <c r="B11">
        <f>COUNT(E1:F8)</f>
        <v>8</v>
      </c>
      <c r="C11" s="2" t="s">
        <v>20</v>
      </c>
    </row>
    <row r="12" spans="1:7" ht="30" x14ac:dyDescent="0.25">
      <c r="A12" s="4" t="s">
        <v>14</v>
      </c>
      <c r="B12">
        <f>SUMIF(F1:F8,"A",E1:E8)</f>
        <v>265</v>
      </c>
      <c r="C12" s="2" t="s">
        <v>21</v>
      </c>
      <c r="D12" s="11" t="s">
        <v>3</v>
      </c>
    </row>
    <row r="13" spans="1:7" x14ac:dyDescent="0.25">
      <c r="A13" s="1" t="s">
        <v>15</v>
      </c>
      <c r="B13">
        <f>SUMIFS(E1:E8,F1:F8,"A",G1:G8,"w")</f>
        <v>240</v>
      </c>
      <c r="C13" t="s">
        <v>24</v>
      </c>
      <c r="D13" s="11"/>
    </row>
    <row r="14" spans="1:7" ht="29.25" customHeight="1" x14ac:dyDescent="0.25">
      <c r="A14" s="3" t="s">
        <v>16</v>
      </c>
      <c r="D14" s="12" t="s">
        <v>25</v>
      </c>
    </row>
    <row r="15" spans="1:7" ht="33.75" customHeight="1" x14ac:dyDescent="0.25">
      <c r="A15" s="3" t="s">
        <v>17</v>
      </c>
      <c r="D15" s="12"/>
    </row>
  </sheetData>
  <mergeCells count="2">
    <mergeCell ref="D12:D13"/>
    <mergeCell ref="D14:D1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CC1F0-4487-4CEB-998C-521BB7F46E98}">
  <dimension ref="A1:K20"/>
  <sheetViews>
    <sheetView zoomScale="145" zoomScaleNormal="145" workbookViewId="0">
      <selection activeCell="B8" sqref="B8"/>
    </sheetView>
  </sheetViews>
  <sheetFormatPr defaultRowHeight="15" x14ac:dyDescent="0.25"/>
  <cols>
    <col min="1" max="1" width="11.42578125" bestFit="1" customWidth="1"/>
    <col min="2" max="2" width="24.5703125" bestFit="1" customWidth="1"/>
    <col min="3" max="3" width="32.5703125" bestFit="1" customWidth="1"/>
    <col min="5" max="5" width="18.42578125" bestFit="1" customWidth="1"/>
    <col min="6" max="7" width="10.5703125" bestFit="1" customWidth="1"/>
    <col min="8" max="8" width="10.5703125" customWidth="1"/>
    <col min="9" max="9" width="15.140625" bestFit="1" customWidth="1"/>
  </cols>
  <sheetData>
    <row r="1" spans="1:11" x14ac:dyDescent="0.25">
      <c r="A1" t="s">
        <v>28</v>
      </c>
      <c r="B1" t="str">
        <f>IF(AVERAGE(E2:G2)&gt;7,"Aprovado",IF(E5&gt;6, "Aprovado na Recuperação", "Reprovado"))</f>
        <v>Aprovado na Recuperação</v>
      </c>
      <c r="E1" s="5" t="s">
        <v>36</v>
      </c>
      <c r="F1" s="5" t="s">
        <v>37</v>
      </c>
      <c r="G1" s="5" t="s">
        <v>38</v>
      </c>
      <c r="H1" s="6"/>
    </row>
    <row r="2" spans="1:11" x14ac:dyDescent="0.25">
      <c r="A2" t="s">
        <v>29</v>
      </c>
      <c r="B2" t="b">
        <f>AND(E2&gt;5,F2&gt;5)</f>
        <v>0</v>
      </c>
      <c r="C2" t="s">
        <v>40</v>
      </c>
      <c r="E2" s="5">
        <v>10</v>
      </c>
      <c r="F2" s="5">
        <v>3</v>
      </c>
      <c r="G2" s="5">
        <v>4</v>
      </c>
      <c r="H2" s="6"/>
      <c r="I2" s="5">
        <v>10</v>
      </c>
      <c r="J2" s="5" t="s">
        <v>0</v>
      </c>
      <c r="K2" s="5" t="s">
        <v>50</v>
      </c>
    </row>
    <row r="3" spans="1:11" x14ac:dyDescent="0.25">
      <c r="A3" t="s">
        <v>30</v>
      </c>
      <c r="B3" t="str">
        <f>IF(OR(AVERAGE(E2:G2)&gt;7,E5&gt;5,E8="Aprovado"),"Aprovado","Reprovado")</f>
        <v>Aprovado</v>
      </c>
      <c r="C3" t="s">
        <v>41</v>
      </c>
      <c r="E3" s="6"/>
      <c r="F3" s="6"/>
      <c r="G3" s="6"/>
      <c r="H3" s="6"/>
      <c r="I3" s="5">
        <v>20</v>
      </c>
      <c r="J3" s="5" t="s">
        <v>47</v>
      </c>
      <c r="K3" s="5" t="s">
        <v>50</v>
      </c>
    </row>
    <row r="4" spans="1:11" x14ac:dyDescent="0.25">
      <c r="A4" t="s">
        <v>35</v>
      </c>
      <c r="B4">
        <f>IFERROR(3+3,"")</f>
        <v>6</v>
      </c>
      <c r="C4" t="s">
        <v>44</v>
      </c>
      <c r="E4" s="5" t="s">
        <v>39</v>
      </c>
      <c r="F4" s="6"/>
      <c r="G4" s="6"/>
      <c r="H4" s="6"/>
      <c r="I4" s="5">
        <v>30</v>
      </c>
      <c r="J4" s="5" t="s">
        <v>0</v>
      </c>
      <c r="K4" s="5" t="s">
        <v>51</v>
      </c>
    </row>
    <row r="5" spans="1:11" x14ac:dyDescent="0.25">
      <c r="A5" t="s">
        <v>31</v>
      </c>
      <c r="B5">
        <f>_xlfn.MAXIFS(I2:I5,J2:J5,"A")</f>
        <v>30</v>
      </c>
      <c r="C5" t="s">
        <v>48</v>
      </c>
      <c r="E5" s="5">
        <v>7</v>
      </c>
      <c r="F5" s="6"/>
      <c r="G5" s="6"/>
      <c r="H5" s="6"/>
      <c r="I5" s="5">
        <v>15</v>
      </c>
      <c r="J5" s="5" t="s">
        <v>47</v>
      </c>
      <c r="K5" s="5" t="s">
        <v>51</v>
      </c>
    </row>
    <row r="6" spans="1:11" x14ac:dyDescent="0.25">
      <c r="A6" t="s">
        <v>32</v>
      </c>
      <c r="B6">
        <f>_xlfn.MINIFS(I2:I5,J2:J5,"A")</f>
        <v>10</v>
      </c>
      <c r="C6" t="s">
        <v>49</v>
      </c>
      <c r="E6" s="6"/>
      <c r="F6" s="6"/>
      <c r="G6" s="6"/>
      <c r="H6" s="6"/>
    </row>
    <row r="7" spans="1:11" x14ac:dyDescent="0.25">
      <c r="A7" t="s">
        <v>34</v>
      </c>
      <c r="E7" s="5" t="s">
        <v>42</v>
      </c>
      <c r="F7" s="6"/>
      <c r="G7" s="6"/>
      <c r="H7" s="6"/>
    </row>
    <row r="8" spans="1:11" x14ac:dyDescent="0.25">
      <c r="A8" t="s">
        <v>45</v>
      </c>
      <c r="B8">
        <f>INDEX(E11:I11,MATCH("KARINA",E11:E14,0),MATCH("MARÇO",F10:I10,0))</f>
        <v>5</v>
      </c>
      <c r="E8" s="5" t="s">
        <v>43</v>
      </c>
      <c r="F8" s="6"/>
      <c r="G8" s="6"/>
      <c r="H8" s="6"/>
    </row>
    <row r="9" spans="1:11" x14ac:dyDescent="0.25">
      <c r="A9" t="s">
        <v>46</v>
      </c>
      <c r="B9" t="e">
        <f>MATCH(B10,F11:I14)</f>
        <v>#N/A</v>
      </c>
    </row>
    <row r="10" spans="1:11" ht="60" x14ac:dyDescent="0.25">
      <c r="A10" s="9" t="s">
        <v>33</v>
      </c>
      <c r="B10">
        <f>VLOOKUP(E11,E10:I14,3,0)</f>
        <v>5</v>
      </c>
      <c r="C10" s="2" t="s">
        <v>60</v>
      </c>
      <c r="E10" s="5"/>
      <c r="F10" s="7" t="s">
        <v>56</v>
      </c>
      <c r="G10" s="7" t="s">
        <v>57</v>
      </c>
      <c r="H10" s="7" t="s">
        <v>58</v>
      </c>
      <c r="I10" s="8" t="s">
        <v>59</v>
      </c>
    </row>
    <row r="11" spans="1:11" x14ac:dyDescent="0.25">
      <c r="A11" t="s">
        <v>61</v>
      </c>
      <c r="B11" t="e">
        <f>HLOOKUP("LAURA",F16:I16,MATCH("MARÇO",E16:I20,0),0)</f>
        <v>#N/A</v>
      </c>
      <c r="E11" s="5" t="s">
        <v>52</v>
      </c>
      <c r="F11" s="5">
        <v>1</v>
      </c>
      <c r="G11" s="5">
        <v>5</v>
      </c>
      <c r="H11" s="5">
        <v>10</v>
      </c>
      <c r="I11" s="5">
        <f>IFERROR(AVERAGE(F11:H11),2)</f>
        <v>5.333333333333333</v>
      </c>
    </row>
    <row r="12" spans="1:11" x14ac:dyDescent="0.25">
      <c r="E12" s="5" t="s">
        <v>53</v>
      </c>
      <c r="F12" s="5">
        <v>2</v>
      </c>
      <c r="G12" s="5">
        <v>3</v>
      </c>
      <c r="H12" s="5">
        <v>2</v>
      </c>
      <c r="I12" s="5">
        <f t="shared" ref="I12:I14" si="0">AVERAGE(F12:H12)</f>
        <v>2.3333333333333335</v>
      </c>
    </row>
    <row r="13" spans="1:11" x14ac:dyDescent="0.25">
      <c r="E13" s="5" t="s">
        <v>54</v>
      </c>
      <c r="F13" s="5">
        <v>5</v>
      </c>
      <c r="G13" s="5">
        <v>5</v>
      </c>
      <c r="H13" s="5">
        <v>5</v>
      </c>
      <c r="I13" s="5">
        <f t="shared" si="0"/>
        <v>5</v>
      </c>
    </row>
    <row r="14" spans="1:11" x14ac:dyDescent="0.25">
      <c r="E14" s="5" t="s">
        <v>55</v>
      </c>
      <c r="F14" s="5">
        <v>10</v>
      </c>
      <c r="G14" s="5">
        <v>10</v>
      </c>
      <c r="H14" s="5">
        <v>11</v>
      </c>
      <c r="I14" s="5">
        <f t="shared" si="0"/>
        <v>10.333333333333334</v>
      </c>
    </row>
    <row r="16" spans="1:11" x14ac:dyDescent="0.25">
      <c r="E16" s="5"/>
      <c r="F16" s="5" t="s">
        <v>52</v>
      </c>
      <c r="G16" s="5" t="s">
        <v>53</v>
      </c>
      <c r="H16" s="5" t="s">
        <v>54</v>
      </c>
      <c r="I16" s="5" t="s">
        <v>55</v>
      </c>
    </row>
    <row r="17" spans="5:9" x14ac:dyDescent="0.25">
      <c r="E17" s="5" t="s">
        <v>56</v>
      </c>
      <c r="F17" s="5">
        <v>1</v>
      </c>
      <c r="G17" s="5">
        <v>5</v>
      </c>
      <c r="H17" s="5">
        <v>10</v>
      </c>
      <c r="I17" s="5">
        <v>10</v>
      </c>
    </row>
    <row r="18" spans="5:9" x14ac:dyDescent="0.25">
      <c r="E18" s="5" t="s">
        <v>57</v>
      </c>
      <c r="F18" s="5">
        <v>2</v>
      </c>
      <c r="G18" s="5">
        <v>3</v>
      </c>
      <c r="H18" s="5">
        <v>2</v>
      </c>
      <c r="I18" s="5">
        <v>10</v>
      </c>
    </row>
    <row r="19" spans="5:9" x14ac:dyDescent="0.25">
      <c r="E19" s="5" t="s">
        <v>58</v>
      </c>
      <c r="F19" s="5">
        <v>5</v>
      </c>
      <c r="G19" s="5">
        <v>5</v>
      </c>
      <c r="H19" s="5">
        <v>5</v>
      </c>
      <c r="I19" s="5">
        <v>11</v>
      </c>
    </row>
    <row r="20" spans="5:9" x14ac:dyDescent="0.25">
      <c r="E20" s="5" t="s">
        <v>59</v>
      </c>
      <c r="F20" s="5">
        <f>AVERAGE(F17:F19)</f>
        <v>2.6666666666666665</v>
      </c>
      <c r="G20" s="5">
        <f t="shared" ref="G20:I20" si="1">AVERAGE(G17:G19)</f>
        <v>4.333333333333333</v>
      </c>
      <c r="H20" s="5">
        <f t="shared" si="1"/>
        <v>5.666666666666667</v>
      </c>
      <c r="I20" s="5">
        <f t="shared" si="1"/>
        <v>10.333333333333334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4D86E-6180-4D2E-B21C-3F928550FE38}">
  <dimension ref="A1:M10"/>
  <sheetViews>
    <sheetView tabSelected="1" zoomScale="190" zoomScaleNormal="190" workbookViewId="0">
      <selection activeCell="B8" sqref="B8"/>
    </sheetView>
  </sheetViews>
  <sheetFormatPr defaultRowHeight="15" x14ac:dyDescent="0.25"/>
  <cols>
    <col min="1" max="1" width="16.140625" bestFit="1" customWidth="1"/>
    <col min="8" max="8" width="12.7109375" customWidth="1"/>
    <col min="11" max="11" width="9.5703125" bestFit="1" customWidth="1"/>
    <col min="13" max="13" width="9.5703125" bestFit="1" customWidth="1"/>
  </cols>
  <sheetData>
    <row r="1" spans="1:13" x14ac:dyDescent="0.25"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J1" s="5" t="s">
        <v>71</v>
      </c>
      <c r="K1" s="5" t="s">
        <v>69</v>
      </c>
      <c r="L1" s="5" t="s">
        <v>70</v>
      </c>
      <c r="M1" s="5"/>
    </row>
    <row r="2" spans="1:13" x14ac:dyDescent="0.25">
      <c r="C2" s="5">
        <v>7</v>
      </c>
      <c r="D2" s="5">
        <v>8</v>
      </c>
      <c r="E2" s="5">
        <v>9</v>
      </c>
      <c r="F2" s="5">
        <v>10</v>
      </c>
      <c r="G2" s="5">
        <v>11</v>
      </c>
      <c r="H2" s="5">
        <v>12</v>
      </c>
      <c r="J2" s="5" t="s">
        <v>64</v>
      </c>
      <c r="K2" s="10">
        <v>5</v>
      </c>
      <c r="L2" s="5">
        <v>1</v>
      </c>
      <c r="M2" s="10">
        <f>PRODUCT(K2:L2)</f>
        <v>5</v>
      </c>
    </row>
    <row r="3" spans="1:13" x14ac:dyDescent="0.25">
      <c r="C3" s="5">
        <v>13</v>
      </c>
      <c r="D3" s="5">
        <v>14</v>
      </c>
      <c r="E3" s="5">
        <v>15</v>
      </c>
      <c r="F3" s="5">
        <v>16</v>
      </c>
      <c r="G3" s="5">
        <v>17</v>
      </c>
      <c r="H3" s="5">
        <v>18</v>
      </c>
      <c r="J3" s="5" t="s">
        <v>65</v>
      </c>
      <c r="K3" s="10">
        <v>2</v>
      </c>
      <c r="L3" s="5">
        <v>3</v>
      </c>
      <c r="M3" s="10">
        <f t="shared" ref="M3:M5" si="0">PRODUCT(K3:L3)</f>
        <v>6</v>
      </c>
    </row>
    <row r="4" spans="1:13" x14ac:dyDescent="0.25">
      <c r="C4" s="5">
        <v>19</v>
      </c>
      <c r="D4" s="5">
        <v>20</v>
      </c>
      <c r="E4" s="5">
        <v>21</v>
      </c>
      <c r="F4" s="5">
        <v>22</v>
      </c>
      <c r="G4" s="5">
        <v>23</v>
      </c>
      <c r="H4" s="5">
        <v>24</v>
      </c>
      <c r="J4" s="5" t="s">
        <v>66</v>
      </c>
      <c r="K4" s="10">
        <v>10</v>
      </c>
      <c r="L4" s="5">
        <v>4</v>
      </c>
      <c r="M4" s="10">
        <f t="shared" si="0"/>
        <v>40</v>
      </c>
    </row>
    <row r="5" spans="1:13" x14ac:dyDescent="0.25">
      <c r="C5" s="5">
        <v>25</v>
      </c>
      <c r="D5" s="5">
        <v>26</v>
      </c>
      <c r="E5" s="5">
        <v>27</v>
      </c>
      <c r="F5" s="5">
        <v>28</v>
      </c>
      <c r="G5" s="5">
        <v>29</v>
      </c>
      <c r="H5" s="5">
        <v>30</v>
      </c>
      <c r="J5" s="5" t="s">
        <v>67</v>
      </c>
      <c r="K5" s="10">
        <v>25</v>
      </c>
      <c r="L5" s="5">
        <v>1</v>
      </c>
      <c r="M5" s="10">
        <f t="shared" si="0"/>
        <v>25</v>
      </c>
    </row>
    <row r="6" spans="1:13" x14ac:dyDescent="0.25">
      <c r="C6" s="5">
        <v>31</v>
      </c>
      <c r="D6" s="5">
        <v>32</v>
      </c>
      <c r="E6" s="5">
        <v>33</v>
      </c>
      <c r="F6" s="5">
        <v>34</v>
      </c>
      <c r="G6" s="5">
        <v>35</v>
      </c>
      <c r="H6" s="5">
        <v>36</v>
      </c>
    </row>
    <row r="8" spans="1:13" ht="44.25" customHeight="1" x14ac:dyDescent="0.25">
      <c r="A8" s="9" t="s">
        <v>62</v>
      </c>
      <c r="B8" cm="1">
        <f t="array" aca="1" ref="B8:F8" ca="1">OFFSET(C1,5,1,1,5)</f>
        <v>32</v>
      </c>
      <c r="C8">
        <f ca="1"/>
        <v>33</v>
      </c>
      <c r="D8">
        <f ca="1"/>
        <v>34</v>
      </c>
      <c r="E8">
        <f ca="1"/>
        <v>35</v>
      </c>
      <c r="F8">
        <f ca="1"/>
        <v>36</v>
      </c>
      <c r="G8" s="13" t="s">
        <v>63</v>
      </c>
      <c r="H8" s="13"/>
    </row>
    <row r="10" spans="1:13" x14ac:dyDescent="0.25">
      <c r="A10" t="s">
        <v>68</v>
      </c>
      <c r="B10" cm="1">
        <f t="array" ref="B10">SUMPRODUCT(K2:K5,L2:L5*(J2:J5="FEIJÃO"))</f>
        <v>40</v>
      </c>
    </row>
  </sheetData>
  <mergeCells count="1">
    <mergeCell ref="G8:H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OPERAÇÕES BÁSICAS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Burlinski Leticia (CtP/ETS PS-AB/ENG1-LA)</dc:creator>
  <cp:lastModifiedBy>Vichinheski Maria (CtP/ETS)</cp:lastModifiedBy>
  <dcterms:created xsi:type="dcterms:W3CDTF">2026-01-12T11:40:40Z</dcterms:created>
  <dcterms:modified xsi:type="dcterms:W3CDTF">2026-01-13T14:09:00Z</dcterms:modified>
</cp:coreProperties>
</file>