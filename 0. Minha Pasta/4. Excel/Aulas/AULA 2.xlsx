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S:\COM\Human_Resources\01.Engineering_Tech_School\02.Internal\5 - Aprendizes\5 - Análise de dados\2 - Análise de dados 2025\Maria Vichinheski\4. EXCEL\"/>
    </mc:Choice>
  </mc:AlternateContent>
  <xr:revisionPtr revIDLastSave="0" documentId="13_ncr:1_{B9364DC9-3696-4849-9F42-EF4BE48895D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TEX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  <c r="B4" i="2"/>
  <c r="B3" i="2"/>
  <c r="B2" i="2"/>
  <c r="B1" i="2"/>
  <c r="B8" i="1"/>
  <c r="B9" i="1"/>
  <c r="B6" i="1"/>
  <c r="B10" i="1"/>
  <c r="B7" i="1"/>
  <c r="B5" i="1"/>
  <c r="B4" i="1"/>
  <c r="B3" i="1"/>
  <c r="B2" i="1"/>
  <c r="B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<sst xmlns="http://schemas.openxmlformats.org/spreadsheetml/2006/main" count="44" uniqueCount="44">
  <si>
    <t>DIA</t>
  </si>
  <si>
    <t>MÊS</t>
  </si>
  <si>
    <t>ANO</t>
  </si>
  <si>
    <t>HOJE</t>
  </si>
  <si>
    <t>AGORA</t>
  </si>
  <si>
    <t>DATA</t>
  </si>
  <si>
    <t>DATADIF</t>
  </si>
  <si>
    <t>DIATRABALHO</t>
  </si>
  <si>
    <t>DIATRABALHOTOTAL</t>
  </si>
  <si>
    <t>&lt;-retorna o dia da data</t>
  </si>
  <si>
    <t>&lt;-retorna o mês da data</t>
  </si>
  <si>
    <t>&lt;-retorna o ano da data</t>
  </si>
  <si>
    <t>&lt;- função vazia, retorna a data de hoje</t>
  </si>
  <si>
    <t>&lt;-função vazia, retorna a data e horario de hoje</t>
  </si>
  <si>
    <t>DIA.DA.SEMANA</t>
  </si>
  <si>
    <t>&lt;- retona o dia da semana</t>
  </si>
  <si>
    <t>&lt;-add em uma data - em dias uteis</t>
  </si>
  <si>
    <t>&lt;-quantos dias uteis descontando a lista de feriados</t>
  </si>
  <si>
    <t>ESQUERDA</t>
  </si>
  <si>
    <t>DIREITA</t>
  </si>
  <si>
    <t>NUM.CARACT</t>
  </si>
  <si>
    <t>CONCATENAR</t>
  </si>
  <si>
    <t>LOCALIZAR</t>
  </si>
  <si>
    <t>PROCURAR</t>
  </si>
  <si>
    <t>EXT.TEXTO</t>
  </si>
  <si>
    <t>MINÚSCULA</t>
  </si>
  <si>
    <t>PRI.MAIUSCULA</t>
  </si>
  <si>
    <t>SUBSTITUIR</t>
  </si>
  <si>
    <t>JOSÉ CARLOS</t>
  </si>
  <si>
    <t>&lt;- primeiros 2 caracteres da esquerda</t>
  </si>
  <si>
    <t>&lt;ultimos 2 caracteres da esquerda</t>
  </si>
  <si>
    <t>&lt;-num de caracteres de um texto (incluindo espaços)</t>
  </si>
  <si>
    <t>&lt;- concatena dois textos - sem espaços</t>
  </si>
  <si>
    <t>&lt;- retorna a posição da letra na palavra a partir de x caracter - NN DIFERENCIA MAIUSCULO E MINÚSCULO</t>
  </si>
  <si>
    <t>&lt;- mesma coisa que o localizar mas DIFERNCIA MAIUSCULO E MINÚSCULO</t>
  </si>
  <si>
    <t>&lt;- retorna um intervalo de caracteres</t>
  </si>
  <si>
    <t>&lt;-transforma o texto em minúsculo</t>
  </si>
  <si>
    <t>&lt;- primeira letra de cada palavra em maiuscula</t>
  </si>
  <si>
    <t>&lt;- substitui caracteres ou palavras de um texto</t>
  </si>
  <si>
    <t>ARRUMAR</t>
  </si>
  <si>
    <t>TEXTO</t>
  </si>
  <si>
    <t>JOSÉ       CARLOS</t>
  </si>
  <si>
    <t>&lt;- remove os espaços extras</t>
  </si>
  <si>
    <t>&lt;- transforma valores em 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</si>
</sst>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zoomScale="175" zoomScaleNormal="175" workbookViewId="0">
      <selection activeCell="B7" sqref="B7"/>
    </sheetView>
  </sheetViews>
  <sheetFormatPr defaultRowHeight="15" x14ac:dyDescent="0.25"/>
  <cols>
    <col min="1" max="1" width="19.42578125" bestFit="1" customWidth="1"/>
    <col min="2" max="2" width="16.42578125" bestFit="1" customWidth="1"/>
    <col min="3" max="3" width="35.28515625" bestFit="1" customWidth="1"/>
    <col min="6" max="6" width="13" customWidth="1"/>
    <col min="7" max="7" width="11.140625" bestFit="1" customWidth="1"/>
    <col min="10" max="10" width="13.140625" customWidth="1"/>
  </cols>
  <sheetData>
    <row r="1" spans="1:7" x14ac:dyDescent="0.25">
      <c r="A1" t="s">
        <v>0</v>
      </c>
      <c r="B1">
        <f>DAY(F5)</f>
        <v>13</v>
      </c>
      <c r="C1" t="s">
        <v>9</v>
      </c>
    </row>
    <row r="2" spans="1:7" x14ac:dyDescent="0.25">
      <c r="A2" t="s">
        <v>1</v>
      </c>
      <c r="B2">
        <f>MONTH(F5)</f>
        <v>1</v>
      </c>
      <c r="C2" t="s">
        <v>10</v>
      </c>
    </row>
    <row r="3" spans="1:7" x14ac:dyDescent="0.25">
      <c r="A3" t="s">
        <v>2</v>
      </c>
      <c r="B3">
        <f>YEAR(F5)</f>
        <v>2026</v>
      </c>
      <c r="C3" t="s">
        <v>11</v>
      </c>
    </row>
    <row r="4" spans="1:7" x14ac:dyDescent="0.25">
      <c r="A4" t="s">
        <v>3</v>
      </c>
      <c r="B4" s="1">
        <f ca="1">TODAY()</f>
        <v>46036</v>
      </c>
      <c r="C4" t="s">
        <v>12</v>
      </c>
    </row>
    <row r="5" spans="1:7" ht="30" x14ac:dyDescent="0.25">
      <c r="A5" s="4" t="s">
        <v>4</v>
      </c>
      <c r="B5" s="2">
        <f ca="1">NOW()</f>
        <v>46036.415200000003</v>
      </c>
      <c r="C5" s="3" t="s">
        <v>13</v>
      </c>
      <c r="F5" s="1">
        <v>46035</v>
      </c>
      <c r="G5" s="1">
        <v>36539</v>
      </c>
    </row>
    <row r="6" spans="1:7" x14ac:dyDescent="0.25">
      <c r="A6" t="s">
        <v>5</v>
      </c>
      <c r="B6" s="1">
        <f>DATE(B3,B2,B1)</f>
        <v>46035</v>
      </c>
    </row>
    <row r="7" spans="1:7" x14ac:dyDescent="0.25">
      <c r="A7" t="s">
        <v>6</v>
      </c>
      <c r="B7" t="e" vm="1">
        <f>_xleta.DATE</f>
        <v>#VALUE!</v>
      </c>
      <c r="F7" s="1">
        <v>46016</v>
      </c>
      <c r="G7" s="1">
        <v>46015</v>
      </c>
    </row>
    <row r="8" spans="1:7" x14ac:dyDescent="0.25">
      <c r="A8" t="s">
        <v>7</v>
      </c>
      <c r="B8" s="1">
        <f>WORKDAY(F5,7)</f>
        <v>46044</v>
      </c>
      <c r="C8" t="s">
        <v>16</v>
      </c>
      <c r="F8" s="1">
        <v>46023</v>
      </c>
    </row>
    <row r="9" spans="1:7" ht="30" x14ac:dyDescent="0.25">
      <c r="A9" s="4" t="s">
        <v>8</v>
      </c>
      <c r="B9">
        <f>NETWORKDAYS(G7,F5,F7:F8)</f>
        <v>13</v>
      </c>
      <c r="C9" s="3" t="s">
        <v>17</v>
      </c>
    </row>
    <row r="10" spans="1:7" x14ac:dyDescent="0.25">
      <c r="A10" t="s">
        <v>14</v>
      </c>
      <c r="B10">
        <f>WEEKDAY(F5,1)</f>
        <v>3</v>
      </c>
      <c r="C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73F3-907B-4369-BB0E-1E96C6CA93D4}">
  <dimension ref="A1:G13"/>
  <sheetViews>
    <sheetView tabSelected="1" zoomScale="160" zoomScaleNormal="160" workbookViewId="0">
      <selection activeCell="B4" sqref="B4"/>
    </sheetView>
  </sheetViews>
  <sheetFormatPr defaultRowHeight="15" x14ac:dyDescent="0.25"/>
  <cols>
    <col min="1" max="1" width="15" bestFit="1" customWidth="1"/>
    <col min="2" max="2" width="24.28515625" bestFit="1" customWidth="1"/>
    <col min="3" max="3" width="34.7109375" bestFit="1" customWidth="1"/>
    <col min="4" max="4" width="10.85546875" bestFit="1" customWidth="1"/>
  </cols>
  <sheetData>
    <row r="1" spans="1:7" x14ac:dyDescent="0.25">
      <c r="A1" t="s">
        <v>18</v>
      </c>
      <c r="B1" t="str">
        <f>LEFT(G2,2)</f>
        <v>JO</v>
      </c>
      <c r="C1" t="s">
        <v>29</v>
      </c>
    </row>
    <row r="2" spans="1:7" x14ac:dyDescent="0.25">
      <c r="A2" t="s">
        <v>19</v>
      </c>
      <c r="B2" t="str">
        <f>RIGHT(G2,2)</f>
        <v>OS</v>
      </c>
      <c r="C2" t="s">
        <v>30</v>
      </c>
      <c r="G2" t="s">
        <v>28</v>
      </c>
    </row>
    <row r="3" spans="1:7" ht="30" x14ac:dyDescent="0.25">
      <c r="A3" s="4" t="s">
        <v>20</v>
      </c>
      <c r="B3">
        <f>LEN(G2)</f>
        <v>11</v>
      </c>
      <c r="C3" s="3" t="s">
        <v>31</v>
      </c>
      <c r="G3" t="s">
        <v>41</v>
      </c>
    </row>
    <row r="4" spans="1:7" x14ac:dyDescent="0.25">
      <c r="A4" t="s">
        <v>21</v>
      </c>
      <c r="B4" t="str">
        <f>CONCATENATE(G2,G3)</f>
        <v>JOSÉ CARLOSJOSÉ       CARLOS</v>
      </c>
      <c r="C4" t="s">
        <v>32</v>
      </c>
    </row>
    <row r="5" spans="1:7" ht="60" x14ac:dyDescent="0.25">
      <c r="A5" s="4" t="s">
        <v>22</v>
      </c>
      <c r="B5">
        <f>SEARCH("O",G3,1)</f>
        <v>2</v>
      </c>
      <c r="C5" s="3" t="s">
        <v>33</v>
      </c>
    </row>
    <row r="6" spans="1:7" ht="45" x14ac:dyDescent="0.25">
      <c r="A6" s="4" t="s">
        <v>23</v>
      </c>
      <c r="B6">
        <f>FIND("O",G3,1)</f>
        <v>2</v>
      </c>
      <c r="C6" s="3" t="s">
        <v>34</v>
      </c>
    </row>
    <row r="7" spans="1:7" x14ac:dyDescent="0.25">
      <c r="A7" t="s">
        <v>24</v>
      </c>
      <c r="B7" t="str">
        <f>MID(G2,5,7)</f>
        <v xml:space="preserve"> CARLOS</v>
      </c>
      <c r="C7" s="3" t="s">
        <v>35</v>
      </c>
    </row>
    <row r="8" spans="1:7" x14ac:dyDescent="0.25">
      <c r="A8" t="s">
        <v>25</v>
      </c>
      <c r="B8" t="str">
        <f>LOWER(G3)</f>
        <v>josé       carlos</v>
      </c>
      <c r="C8" s="3" t="s">
        <v>36</v>
      </c>
    </row>
    <row r="9" spans="1:7" ht="30" x14ac:dyDescent="0.25">
      <c r="A9" t="s">
        <v>26</v>
      </c>
      <c r="B9" t="str">
        <f>PROPER(G3)</f>
        <v>José       Carlos</v>
      </c>
      <c r="C9" s="3" t="s">
        <v>37</v>
      </c>
    </row>
    <row r="10" spans="1:7" ht="30" x14ac:dyDescent="0.25">
      <c r="A10" t="s">
        <v>27</v>
      </c>
      <c r="B10" t="str">
        <f>SUBSTITUTE(G3,"JOSÉ","ANTONIO")</f>
        <v>ANTONIO       CARLOS</v>
      </c>
      <c r="C10" s="3" t="s">
        <v>38</v>
      </c>
    </row>
    <row r="11" spans="1:7" x14ac:dyDescent="0.25">
      <c r="A11" t="s">
        <v>39</v>
      </c>
      <c r="B11" t="str">
        <f>TRIM(G3)</f>
        <v>JOSÉ CARLOS</v>
      </c>
      <c r="C11" s="3" t="s">
        <v>42</v>
      </c>
    </row>
    <row r="12" spans="1:7" x14ac:dyDescent="0.25">
      <c r="A12" t="s">
        <v>40</v>
      </c>
      <c r="B12" t="str">
        <f>TEXT(D13,"DDDDD")</f>
        <v>quarta-feira</v>
      </c>
      <c r="C12" s="3" t="s">
        <v>43</v>
      </c>
    </row>
    <row r="13" spans="1:7" x14ac:dyDescent="0.25">
      <c r="D13" s="1">
        <v>46036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TEXTO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Vichinheski Maria (CtP/ETS)</dc:creator>
  <cp:lastModifiedBy>Vichinheski Maria (CtP/ETS)</cp:lastModifiedBy>
  <dcterms:created xsi:type="dcterms:W3CDTF">2015-06-05T18:19:34Z</dcterms:created>
  <dcterms:modified xsi:type="dcterms:W3CDTF">2026-01-14T12:58:37Z</dcterms:modified>
</cp:coreProperties>
</file>