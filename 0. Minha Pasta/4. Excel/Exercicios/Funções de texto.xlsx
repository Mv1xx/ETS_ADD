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bosch.com\dfsrb\DfsBR\loc\Ct\COM\Human_Resources\01.Engineering_Tech_School\02.Internal\5 - Aprendizes\5 - Análise de dados\2 - Análise de dados 2025\Maria Vichinheski\4. EXCEL\"/>
    </mc:Choice>
  </mc:AlternateContent>
  <xr:revisionPtr revIDLastSave="0" documentId="13_ncr:1_{0F950856-D008-401C-8C9C-C6DC398799F6}" xr6:coauthVersionLast="47" xr6:coauthVersionMax="47" xr10:uidLastSave="{00000000-0000-0000-0000-000000000000}"/>
  <bookViews>
    <workbookView xWindow="-120" yWindow="-120" windowWidth="29040" windowHeight="15720" tabRatio="698" activeTab="3" xr2:uid="{00000000-000D-0000-FFFF-FFFF00000000}"/>
  </bookViews>
  <sheets>
    <sheet name="Funções de Texto - Resumo" sheetId="1" r:id="rId1"/>
    <sheet name="EX1" sheetId="3" r:id="rId2"/>
    <sheet name="EX2" sheetId="9" r:id="rId3"/>
    <sheet name="EX3" sheetId="7" r:id="rId4"/>
  </sheets>
  <definedNames>
    <definedName name="Balances">#REF!</definedName>
    <definedName name="_xlnm.Database">#REF!</definedName>
    <definedName name="CargoSize">#REF!</definedName>
    <definedName name="CargoSizes">#REF!</definedName>
    <definedName name="Contracts">#REF!</definedName>
    <definedName name="Equity">#REF!</definedName>
    <definedName name="Factor">#REF!</definedName>
    <definedName name="Lifters">#REF!</definedName>
    <definedName name="LP_Method">#REF!</definedName>
    <definedName name="MaxStock">#REF!</definedName>
    <definedName name="MinStock">#REF!</definedName>
    <definedName name="Password">#REF!</definedName>
    <definedName name="Pooling1">#REF!</definedName>
    <definedName name="Pooling2">#REF!</definedName>
    <definedName name="Pooling3">#REF!</definedName>
    <definedName name="Resultado">#REF!</definedName>
    <definedName name="SafetyMargin">#REF!</definedName>
    <definedName name="Stock">#REF!</definedName>
    <definedName name="Storages">#REF!</definedName>
    <definedName name="Thresholds">#REF!</definedName>
    <definedName name="Usernam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3" l="1"/>
  <c r="B2" i="7"/>
  <c r="B3" i="7"/>
  <c r="B4" i="7"/>
  <c r="B5" i="7"/>
  <c r="B6" i="7"/>
  <c r="B7" i="7"/>
  <c r="B8" i="7"/>
  <c r="B9" i="7"/>
  <c r="B10" i="7"/>
  <c r="C7" i="9" a="1"/>
  <c r="C7" i="9" s="1"/>
  <c r="C6" i="9"/>
  <c r="D6" i="3"/>
  <c r="C5" i="9"/>
  <c r="C4" i="9"/>
  <c r="C3" i="9"/>
  <c r="D16" i="3"/>
  <c r="D15" i="3"/>
  <c r="D14" i="3"/>
  <c r="D13" i="3"/>
  <c r="D12" i="3"/>
  <c r="D11" i="3"/>
  <c r="D9" i="3"/>
  <c r="D10" i="3"/>
  <c r="D7" i="3"/>
  <c r="D5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<sst xmlns="http://schemas.openxmlformats.org/spreadsheetml/2006/main" count="71" uniqueCount="58">
  <si>
    <t>ESQUERDA</t>
  </si>
  <si>
    <t>FÓRMULAS DE TEXTO</t>
  </si>
  <si>
    <t>DIREITA</t>
  </si>
  <si>
    <t>NÚM.CARACT</t>
  </si>
  <si>
    <t>CONCATENAR</t>
  </si>
  <si>
    <t>LOCALIZAR</t>
  </si>
  <si>
    <t>Localiza um valor de texto dentro de outro (não diferencia maiúsculas de minúsculas)</t>
  </si>
  <si>
    <t>EXT.TEXTO</t>
  </si>
  <si>
    <t>MINÚSCULA</t>
  </si>
  <si>
    <t>MAIÚSCULA</t>
  </si>
  <si>
    <t>PRI.MAIÚSCULA</t>
  </si>
  <si>
    <t>Converte a primeira letra de cada palavra é convertida para maiúscula, e as demais em minúscula.</t>
  </si>
  <si>
    <t>Retorna os caracteres mais à esquerda de um texto</t>
  </si>
  <si>
    <t>Retorna os caracteres mais à direita de um texto</t>
  </si>
  <si>
    <t>Retorna o número de caracteres em um texto</t>
  </si>
  <si>
    <t>Retorna pedaço de um texto, começando na posição especificada, com base no número de caracteres especificado</t>
  </si>
  <si>
    <t>Converte o texto para letra minúscula</t>
  </si>
  <si>
    <t>Converte o texto para letra maiúscula</t>
  </si>
  <si>
    <t>PROCURAR</t>
  </si>
  <si>
    <t>Localiza um valor de texto dentro de outro (diferencia maiúsculas de minúsculas)</t>
  </si>
  <si>
    <t>João Paulo Martins</t>
  </si>
  <si>
    <t>E-mail</t>
  </si>
  <si>
    <t>Servidor</t>
  </si>
  <si>
    <t>joao.ferreira@hashtagtreinamentos.com</t>
  </si>
  <si>
    <t>luiza.franca@terra.com.br</t>
  </si>
  <si>
    <t>ricardo12massafera@uol.net</t>
  </si>
  <si>
    <t>joao.gomes@hotmail.com</t>
  </si>
  <si>
    <t>fabio.neves@yahoo.com.br</t>
  </si>
  <si>
    <t>claudia_barbosa@globo.com</t>
  </si>
  <si>
    <t>paulocesar@brasil.com</t>
  </si>
  <si>
    <t>jessica.campos@microsoft.com.us</t>
  </si>
  <si>
    <t>marcos_braz@hotmail.com</t>
  </si>
  <si>
    <t>ARRUMAR</t>
  </si>
  <si>
    <t>TEXTO</t>
  </si>
  <si>
    <t>CONCAT</t>
  </si>
  <si>
    <t>SUBSTITUIR</t>
  </si>
  <si>
    <t>Substituir</t>
  </si>
  <si>
    <t>Substitui um texto por outro</t>
  </si>
  <si>
    <t>Agrupa vários textos em uma única célula (nesse caso você pode selecionar várias células de uma vez)</t>
  </si>
  <si>
    <t>Agrupa vários textos em uma única célula (nesse caso você deve selecionar uma célula de cada vez)</t>
  </si>
  <si>
    <t>Remove espaços 'desnecessários' do texto (espaço antes do texto, mais de 1 espaço entre palavras, e espaço no final do texto)</t>
  </si>
  <si>
    <t>Converte um valor para texto em um formato específico (ex: converter o número 3 para o texto 'Março)</t>
  </si>
  <si>
    <t>Dia da Semana</t>
  </si>
  <si>
    <t>Nome do Mês</t>
  </si>
  <si>
    <t>Função TEXTO</t>
  </si>
  <si>
    <t>Formato de Telefone</t>
  </si>
  <si>
    <t>Data de Conclusão do Relatório</t>
  </si>
  <si>
    <t>Horário de Conclusão do Relatório</t>
  </si>
  <si>
    <t>Link Microsoft Função TEXTO</t>
  </si>
  <si>
    <t xml:space="preserve">     João      Paulo      Martins           </t>
  </si>
  <si>
    <t>João</t>
  </si>
  <si>
    <t>Martins</t>
  </si>
  <si>
    <t>João Martins</t>
  </si>
  <si>
    <t>Paulo</t>
  </si>
  <si>
    <t>joão paulo martins</t>
  </si>
  <si>
    <t>JOÃO PAULO MARTINS</t>
  </si>
  <si>
    <t>João Paulo Lira</t>
  </si>
  <si>
    <t>(##) #####-####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</si>
</sst>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-0.49998474074526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0" fontId="5" fillId="0" borderId="0" applyNumberFormat="0" applyFill="0" applyBorder="0" applyAlignment="0" applyProtection="0"/>
  </cellStyleXfs>
  <cellXfs count="34">
    <xf numFmtId="0" fontId="0" fillId="0" borderId="0" xfId="0"/>
    <xf numFmtId="0" fontId="2" fillId="0" borderId="4" xfId="0" applyFont="1" applyBorder="1"/>
    <xf numFmtId="0" fontId="2" fillId="0" borderId="0" xfId="0" applyFont="1"/>
    <xf numFmtId="0" fontId="2" fillId="0" borderId="6" xfId="0" applyFont="1" applyBorder="1"/>
    <xf numFmtId="0" fontId="0" fillId="0" borderId="1" xfId="0" applyBorder="1"/>
    <xf numFmtId="0" fontId="0" fillId="3" borderId="9" xfId="0" applyFill="1" applyBorder="1"/>
    <xf numFmtId="0" fontId="0" fillId="0" borderId="11" xfId="0" applyBorder="1" applyAlignment="1">
      <alignment horizontal="center"/>
    </xf>
    <xf numFmtId="0" fontId="0" fillId="3" borderId="12" xfId="0" applyFill="1" applyBorder="1"/>
    <xf numFmtId="0" fontId="0" fillId="0" borderId="2" xfId="0" applyBorder="1" applyAlignment="1">
      <alignment horizontal="center"/>
    </xf>
    <xf numFmtId="0" fontId="0" fillId="3" borderId="13" xfId="0" applyFill="1" applyBorder="1"/>
    <xf numFmtId="0" fontId="0" fillId="0" borderId="3" xfId="0" applyBorder="1" applyAlignment="1">
      <alignment horizontal="center"/>
    </xf>
    <xf numFmtId="0" fontId="0" fillId="0" borderId="8" xfId="0" applyBorder="1"/>
    <xf numFmtId="0" fontId="0" fillId="0" borderId="0" xfId="0"/>
    <xf numFmtId="0" fontId="1" fillId="5" borderId="1" xfId="0" applyFont="1" applyFill="1" applyBorder="1"/>
    <xf numFmtId="0" fontId="2" fillId="0" borderId="6" xfId="0" applyFont="1" applyFill="1" applyBorder="1"/>
    <xf numFmtId="0" fontId="2" fillId="0" borderId="7" xfId="0" applyFont="1" applyFill="1" applyBorder="1"/>
    <xf numFmtId="0" fontId="0" fillId="0" borderId="2" xfId="0" applyBorder="1"/>
    <xf numFmtId="0" fontId="0" fillId="0" borderId="3" xfId="0" applyBorder="1"/>
    <xf numFmtId="0" fontId="5" fillId="0" borderId="0" xfId="3"/>
    <xf numFmtId="14" fontId="0" fillId="0" borderId="0" xfId="0" applyNumberFormat="1"/>
    <xf numFmtId="1" fontId="0" fillId="0" borderId="0" xfId="0" applyNumberFormat="1"/>
    <xf numFmtId="14" fontId="0" fillId="0" borderId="12" xfId="0" applyNumberFormat="1" applyFill="1" applyBorder="1"/>
    <xf numFmtId="20" fontId="0" fillId="0" borderId="13" xfId="0" applyNumberFormat="1" applyFill="1" applyBorder="1"/>
    <xf numFmtId="0" fontId="0" fillId="0" borderId="0" xfId="0" applyFill="1" applyBorder="1"/>
    <xf numFmtId="0" fontId="0" fillId="0" borderId="12" xfId="0" applyFill="1" applyBorder="1"/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4" xfId="0" applyBorder="1" applyAlignment="1">
      <alignment horizontal="left"/>
    </xf>
    <xf numFmtId="0" fontId="5" fillId="0" borderId="1" xfId="3" applyBorder="1"/>
    <xf numFmtId="0" fontId="4" fillId="2" borderId="5" xfId="0" applyFont="1" applyFill="1" applyBorder="1" applyAlignment="1">
      <alignment horizontal="center" vertical="center" textRotation="180"/>
    </xf>
    <xf numFmtId="0" fontId="4" fillId="2" borderId="0" xfId="0" applyFont="1" applyFill="1" applyBorder="1" applyAlignment="1">
      <alignment horizontal="center" vertical="center" textRotation="180"/>
    </xf>
    <xf numFmtId="0" fontId="1" fillId="4" borderId="15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</cellXfs>
  <cellStyles count="4">
    <cellStyle name="Cancel 14" xfId="2" xr:uid="{0FC44824-6EB1-4AFA-97E6-1D40B032F61E}"/>
    <cellStyle name="Cancel 2" xfId="1" xr:uid="{C18EA01D-A289-4AF5-83A0-5B040DFCDD57}"/>
    <cellStyle name="Hi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support.microsoft.com/pt-br/office/texto-fun%C3%A7%C3%A3o-texto-20d5ac4d-7b94-49fd-bb38-93d29371225c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marcos_braz@hotmail.com" TargetMode="External"/><Relationship Id="rId7" Type="http://schemas.openxmlformats.org/officeDocument/2006/relationships/hyperlink" Target="mailto:joao.ferreira@hashtagtreinamentos.com" TargetMode="External"/><Relationship Id="rId2" Type="http://schemas.openxmlformats.org/officeDocument/2006/relationships/hyperlink" Target="mailto:jessica.campos@microsoft.com.us" TargetMode="External"/><Relationship Id="rId1" Type="http://schemas.openxmlformats.org/officeDocument/2006/relationships/hyperlink" Target="mailto:paulocesar@brasil.com" TargetMode="External"/><Relationship Id="rId6" Type="http://schemas.openxmlformats.org/officeDocument/2006/relationships/hyperlink" Target="mailto:fabio.neves@yahoo.com.br" TargetMode="External"/><Relationship Id="rId5" Type="http://schemas.openxmlformats.org/officeDocument/2006/relationships/hyperlink" Target="mailto:joao.gomes@hotmail.com" TargetMode="External"/><Relationship Id="rId4" Type="http://schemas.openxmlformats.org/officeDocument/2006/relationships/hyperlink" Target="mailto:claudia_barbosa@glob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5"/>
  <sheetViews>
    <sheetView showGridLines="0" zoomScale="160" zoomScaleNormal="160" workbookViewId="0">
      <selection activeCell="H7" sqref="B2:H15"/>
    </sheetView>
  </sheetViews>
  <sheetFormatPr defaultRowHeight="15" x14ac:dyDescent="0.25"/>
  <cols>
    <col min="1" max="1" width="1.140625" customWidth="1"/>
    <col min="2" max="2" width="13" bestFit="1" customWidth="1"/>
    <col min="4" max="4" width="9.140625" customWidth="1"/>
  </cols>
  <sheetData>
    <row r="1" spans="2:4" ht="3.95" customHeight="1" thickBot="1" x14ac:dyDescent="0.3"/>
    <row r="2" spans="2:4" ht="14.45" customHeight="1" x14ac:dyDescent="0.25">
      <c r="B2" s="1" t="s">
        <v>0</v>
      </c>
      <c r="C2" s="30" t="s">
        <v>1</v>
      </c>
      <c r="D2" s="2" t="s">
        <v>12</v>
      </c>
    </row>
    <row r="3" spans="2:4" x14ac:dyDescent="0.25">
      <c r="B3" s="3" t="s">
        <v>2</v>
      </c>
      <c r="C3" s="31"/>
      <c r="D3" s="2" t="s">
        <v>13</v>
      </c>
    </row>
    <row r="4" spans="2:4" x14ac:dyDescent="0.25">
      <c r="B4" s="3" t="s">
        <v>3</v>
      </c>
      <c r="C4" s="31"/>
      <c r="D4" s="2" t="s">
        <v>14</v>
      </c>
    </row>
    <row r="5" spans="2:4" x14ac:dyDescent="0.25">
      <c r="B5" s="3" t="s">
        <v>4</v>
      </c>
      <c r="C5" s="31"/>
      <c r="D5" s="2" t="s">
        <v>39</v>
      </c>
    </row>
    <row r="6" spans="2:4" x14ac:dyDescent="0.25">
      <c r="B6" s="14" t="s">
        <v>34</v>
      </c>
      <c r="C6" s="31"/>
      <c r="D6" s="2" t="s">
        <v>38</v>
      </c>
    </row>
    <row r="7" spans="2:4" x14ac:dyDescent="0.25">
      <c r="B7" s="3" t="s">
        <v>5</v>
      </c>
      <c r="C7" s="31"/>
      <c r="D7" s="2" t="s">
        <v>6</v>
      </c>
    </row>
    <row r="8" spans="2:4" x14ac:dyDescent="0.25">
      <c r="B8" s="3" t="s">
        <v>18</v>
      </c>
      <c r="C8" s="31"/>
      <c r="D8" s="2" t="s">
        <v>19</v>
      </c>
    </row>
    <row r="9" spans="2:4" x14ac:dyDescent="0.25">
      <c r="B9" s="3" t="s">
        <v>7</v>
      </c>
      <c r="C9" s="31"/>
      <c r="D9" s="2" t="s">
        <v>15</v>
      </c>
    </row>
    <row r="10" spans="2:4" x14ac:dyDescent="0.25">
      <c r="B10" s="3" t="s">
        <v>8</v>
      </c>
      <c r="C10" s="31"/>
      <c r="D10" s="2" t="s">
        <v>16</v>
      </c>
    </row>
    <row r="11" spans="2:4" x14ac:dyDescent="0.25">
      <c r="B11" s="3" t="s">
        <v>9</v>
      </c>
      <c r="C11" s="31"/>
      <c r="D11" s="2" t="s">
        <v>17</v>
      </c>
    </row>
    <row r="12" spans="2:4" x14ac:dyDescent="0.25">
      <c r="B12" s="14" t="s">
        <v>35</v>
      </c>
      <c r="C12" s="31"/>
      <c r="D12" s="2" t="s">
        <v>37</v>
      </c>
    </row>
    <row r="13" spans="2:4" x14ac:dyDescent="0.25">
      <c r="B13" s="3" t="s">
        <v>10</v>
      </c>
      <c r="C13" s="31"/>
      <c r="D13" s="2" t="s">
        <v>11</v>
      </c>
    </row>
    <row r="14" spans="2:4" x14ac:dyDescent="0.25">
      <c r="B14" s="14" t="s">
        <v>32</v>
      </c>
      <c r="C14" s="31"/>
      <c r="D14" s="2" t="s">
        <v>40</v>
      </c>
    </row>
    <row r="15" spans="2:4" ht="15.75" thickBot="1" x14ac:dyDescent="0.3">
      <c r="B15" s="15" t="s">
        <v>33</v>
      </c>
      <c r="C15" s="31"/>
      <c r="D15" s="2" t="s">
        <v>41</v>
      </c>
    </row>
  </sheetData>
  <mergeCells count="1">
    <mergeCell ref="C2:C1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EABEF-87D2-49CA-B7B0-F0D59E769B9A}">
  <dimension ref="B1:D16"/>
  <sheetViews>
    <sheetView showGridLines="0" zoomScale="205" zoomScaleNormal="205" workbookViewId="0">
      <selection activeCell="D9" sqref="D9"/>
    </sheetView>
  </sheetViews>
  <sheetFormatPr defaultRowHeight="15" x14ac:dyDescent="0.25"/>
  <cols>
    <col min="1" max="1" width="1" customWidth="1"/>
    <col min="2" max="2" width="30.5703125" customWidth="1"/>
    <col min="3" max="3" width="23.140625" style="25" customWidth="1"/>
    <col min="4" max="4" width="22" customWidth="1"/>
  </cols>
  <sheetData>
    <row r="1" spans="2:4" ht="3.6" customHeight="1" thickBot="1" x14ac:dyDescent="0.3"/>
    <row r="2" spans="2:4" ht="15.75" thickBot="1" x14ac:dyDescent="0.3">
      <c r="B2" s="11" t="s">
        <v>20</v>
      </c>
    </row>
    <row r="3" spans="2:4" s="12" customFormat="1" ht="15.75" thickBot="1" x14ac:dyDescent="0.3">
      <c r="B3" s="11" t="s">
        <v>49</v>
      </c>
      <c r="C3" s="25"/>
    </row>
    <row r="4" spans="2:4" ht="15.75" thickBot="1" x14ac:dyDescent="0.3"/>
    <row r="5" spans="2:4" x14ac:dyDescent="0.25">
      <c r="B5" s="5" t="s">
        <v>0</v>
      </c>
      <c r="C5" s="26" t="s">
        <v>50</v>
      </c>
      <c r="D5" s="6" t="str">
        <f>LEFT(B2,4)</f>
        <v>João</v>
      </c>
    </row>
    <row r="6" spans="2:4" x14ac:dyDescent="0.25">
      <c r="B6" s="7" t="s">
        <v>2</v>
      </c>
      <c r="C6" s="27" t="s">
        <v>51</v>
      </c>
      <c r="D6" s="8" t="str">
        <f>RIGHT(B2,7)</f>
        <v>Martins</v>
      </c>
    </row>
    <row r="7" spans="2:4" x14ac:dyDescent="0.25">
      <c r="B7" s="7" t="s">
        <v>3</v>
      </c>
      <c r="C7" s="27">
        <v>18</v>
      </c>
      <c r="D7" s="8">
        <f>LEN(B2)</f>
        <v>18</v>
      </c>
    </row>
    <row r="8" spans="2:4" x14ac:dyDescent="0.25">
      <c r="B8" s="7" t="s">
        <v>4</v>
      </c>
      <c r="C8" s="27" t="s">
        <v>52</v>
      </c>
      <c r="D8" s="8" t="str">
        <f>CONCATENATE(D5," ",D6)</f>
        <v>João Martins</v>
      </c>
    </row>
    <row r="9" spans="2:4" x14ac:dyDescent="0.25">
      <c r="B9" s="7" t="s">
        <v>5</v>
      </c>
      <c r="C9" s="27">
        <v>6</v>
      </c>
      <c r="D9" s="8">
        <f>SEARCH("p",B2)</f>
        <v>6</v>
      </c>
    </row>
    <row r="10" spans="2:4" x14ac:dyDescent="0.25">
      <c r="B10" s="7" t="s">
        <v>18</v>
      </c>
      <c r="C10" s="27">
        <v>6</v>
      </c>
      <c r="D10" s="8">
        <f>FIND("P", B2)</f>
        <v>6</v>
      </c>
    </row>
    <row r="11" spans="2:4" x14ac:dyDescent="0.25">
      <c r="B11" s="7" t="s">
        <v>7</v>
      </c>
      <c r="C11" s="27" t="s">
        <v>53</v>
      </c>
      <c r="D11" s="8" t="str">
        <f>MID(B2,5,7)</f>
        <v xml:space="preserve"> Paulo </v>
      </c>
    </row>
    <row r="12" spans="2:4" x14ac:dyDescent="0.25">
      <c r="B12" s="7" t="s">
        <v>8</v>
      </c>
      <c r="C12" s="27" t="s">
        <v>54</v>
      </c>
      <c r="D12" s="8" t="str">
        <f>LOWER(B2)</f>
        <v>joão paulo martins</v>
      </c>
    </row>
    <row r="13" spans="2:4" x14ac:dyDescent="0.25">
      <c r="B13" s="7" t="s">
        <v>9</v>
      </c>
      <c r="C13" s="27" t="s">
        <v>55</v>
      </c>
      <c r="D13" s="8" t="str">
        <f>UPPER(B2)</f>
        <v>JOÃO PAULO MARTINS</v>
      </c>
    </row>
    <row r="14" spans="2:4" x14ac:dyDescent="0.25">
      <c r="B14" s="7" t="s">
        <v>10</v>
      </c>
      <c r="C14" s="27" t="s">
        <v>20</v>
      </c>
      <c r="D14" s="8" t="str">
        <f>PROPER(B2)</f>
        <v>João Paulo Martins</v>
      </c>
    </row>
    <row r="15" spans="2:4" x14ac:dyDescent="0.25">
      <c r="B15" s="7" t="s">
        <v>36</v>
      </c>
      <c r="C15" s="27" t="s">
        <v>56</v>
      </c>
      <c r="D15" s="8" t="str">
        <f>SUBSTITUTE(B2,"Martins", "lira")</f>
        <v>João Paulo lira</v>
      </c>
    </row>
    <row r="16" spans="2:4" s="12" customFormat="1" ht="15.75" thickBot="1" x14ac:dyDescent="0.3">
      <c r="B16" s="9" t="s">
        <v>32</v>
      </c>
      <c r="C16" s="28" t="s">
        <v>20</v>
      </c>
      <c r="D16" s="10" t="str">
        <f>TRIM(B3)</f>
        <v>João Paulo Martins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8275A-992D-4A09-AC3F-94B928AC747D}">
  <dimension ref="B1:F9"/>
  <sheetViews>
    <sheetView showGridLines="0" zoomScale="190" zoomScaleNormal="190" workbookViewId="0">
      <selection activeCell="C7" sqref="C7"/>
    </sheetView>
  </sheetViews>
  <sheetFormatPr defaultColWidth="8.7109375" defaultRowHeight="15" x14ac:dyDescent="0.25"/>
  <cols>
    <col min="1" max="1" width="1" style="12" customWidth="1"/>
    <col min="2" max="2" width="24" style="12" customWidth="1"/>
    <col min="3" max="3" width="50.28515625" style="12" customWidth="1"/>
    <col min="4" max="4" width="32.42578125" style="12" customWidth="1"/>
    <col min="5" max="5" width="8.28515625" style="12" customWidth="1"/>
    <col min="6" max="6" width="25.140625" style="12" customWidth="1"/>
    <col min="7" max="16384" width="8.7109375" style="12"/>
  </cols>
  <sheetData>
    <row r="1" spans="2:6" ht="3.6" customHeight="1" thickBot="1" x14ac:dyDescent="0.3"/>
    <row r="2" spans="2:6" x14ac:dyDescent="0.25">
      <c r="B2" s="32" t="s">
        <v>44</v>
      </c>
      <c r="C2" s="33"/>
      <c r="D2" s="18" t="s">
        <v>48</v>
      </c>
    </row>
    <row r="3" spans="2:6" x14ac:dyDescent="0.25">
      <c r="B3" s="21">
        <v>44411</v>
      </c>
      <c r="C3" s="16" t="str">
        <f>TEXT(B3,"DDDD")</f>
        <v>terça-feira</v>
      </c>
      <c r="D3" s="12" t="s">
        <v>42</v>
      </c>
    </row>
    <row r="4" spans="2:6" x14ac:dyDescent="0.25">
      <c r="B4" s="21">
        <v>44411</v>
      </c>
      <c r="C4" s="16" t="str">
        <f>TEXT(B4,"MMMM")</f>
        <v>agosto</v>
      </c>
      <c r="D4" s="12" t="s">
        <v>43</v>
      </c>
    </row>
    <row r="5" spans="2:6" x14ac:dyDescent="0.25">
      <c r="B5" s="24">
        <v>21948524585</v>
      </c>
      <c r="C5" s="16" t="str">
        <f>TEXT(B5,F5)</f>
        <v>(21) 94852-4585</v>
      </c>
      <c r="D5" s="12" t="s">
        <v>45</v>
      </c>
      <c r="E5" s="19"/>
      <c r="F5" s="12" t="s">
        <v>57</v>
      </c>
    </row>
    <row r="6" spans="2:6" x14ac:dyDescent="0.25">
      <c r="B6" s="21">
        <v>44079</v>
      </c>
      <c r="C6" s="16" t="str">
        <f>CONCATENATE(D6,": ", TEXT(B6,"DD/MM/AAAA"))</f>
        <v>Data de Conclusão do Relatório: 05/09/2020</v>
      </c>
      <c r="D6" s="23" t="s">
        <v>46</v>
      </c>
      <c r="E6" s="19"/>
    </row>
    <row r="7" spans="2:6" ht="15.75" thickBot="1" x14ac:dyDescent="0.3">
      <c r="B7" s="22">
        <v>0.47361111111111115</v>
      </c>
      <c r="C7" s="17" t="str" cm="1">
        <f t="array" ref="C7">CONCATENATE(D7:D7,": ",TEXT(B7,"HH:MM"))</f>
        <v>Horário de Conclusão do Relatório: 11:22</v>
      </c>
      <c r="D7" s="23" t="s">
        <v>47</v>
      </c>
    </row>
    <row r="8" spans="2:6" x14ac:dyDescent="0.25">
      <c r="B8"/>
      <c r="C8"/>
    </row>
    <row r="9" spans="2:6" x14ac:dyDescent="0.25">
      <c r="E9" s="20"/>
    </row>
  </sheetData>
  <mergeCells count="1">
    <mergeCell ref="B2:C2"/>
  </mergeCells>
  <hyperlinks>
    <hyperlink ref="D2" r:id="rId1" xr:uid="{63E44E09-5EA4-4525-A3B6-81BC7CB29DC7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7B4CA-B129-4197-BD44-21ECA13704B5}">
  <dimension ref="A1:B10"/>
  <sheetViews>
    <sheetView showGridLines="0" tabSelected="1" zoomScale="175" zoomScaleNormal="175" workbookViewId="0">
      <selection activeCell="C2" sqref="C2"/>
    </sheetView>
  </sheetViews>
  <sheetFormatPr defaultRowHeight="15" x14ac:dyDescent="0.25"/>
  <cols>
    <col min="1" max="1" width="37" customWidth="1"/>
    <col min="2" max="2" width="21.28515625" customWidth="1"/>
  </cols>
  <sheetData>
    <row r="1" spans="1:2" x14ac:dyDescent="0.25">
      <c r="A1" s="13" t="s">
        <v>21</v>
      </c>
      <c r="B1" s="13" t="s">
        <v>22</v>
      </c>
    </row>
    <row r="2" spans="1:2" x14ac:dyDescent="0.25">
      <c r="A2" s="29" t="s">
        <v>23</v>
      </c>
      <c r="B2" s="4" t="str">
        <f>_xlfn.TEXTBEFORE(_xlfn.TEXTAFTER(A2,"@"),".")</f>
        <v>hashtagtreinamentos</v>
      </c>
    </row>
    <row r="3" spans="1:2" x14ac:dyDescent="0.25">
      <c r="A3" s="4" t="s">
        <v>28</v>
      </c>
      <c r="B3" s="4" t="str">
        <f t="shared" ref="B3:B10" si="0">_xlfn.TEXTBEFORE(_xlfn.TEXTAFTER(A3,"@"),".")</f>
        <v>globo</v>
      </c>
    </row>
    <row r="4" spans="1:2" x14ac:dyDescent="0.25">
      <c r="A4" s="4" t="s">
        <v>31</v>
      </c>
      <c r="B4" s="4" t="str">
        <f t="shared" si="0"/>
        <v>hotmail</v>
      </c>
    </row>
    <row r="5" spans="1:2" x14ac:dyDescent="0.25">
      <c r="A5" s="4" t="s">
        <v>27</v>
      </c>
      <c r="B5" s="4" t="str">
        <f t="shared" si="0"/>
        <v>yahoo</v>
      </c>
    </row>
    <row r="6" spans="1:2" x14ac:dyDescent="0.25">
      <c r="A6" s="4" t="s">
        <v>26</v>
      </c>
      <c r="B6" s="4" t="str">
        <f t="shared" si="0"/>
        <v>hotmail</v>
      </c>
    </row>
    <row r="7" spans="1:2" x14ac:dyDescent="0.25">
      <c r="A7" s="4" t="s">
        <v>24</v>
      </c>
      <c r="B7" s="4" t="str">
        <f t="shared" si="0"/>
        <v>terra</v>
      </c>
    </row>
    <row r="8" spans="1:2" x14ac:dyDescent="0.25">
      <c r="A8" s="4" t="s">
        <v>25</v>
      </c>
      <c r="B8" s="4" t="str">
        <f t="shared" si="0"/>
        <v>uol</v>
      </c>
    </row>
    <row r="9" spans="1:2" x14ac:dyDescent="0.25">
      <c r="A9" s="4" t="s">
        <v>29</v>
      </c>
      <c r="B9" s="4" t="str">
        <f t="shared" si="0"/>
        <v>brasil</v>
      </c>
    </row>
    <row r="10" spans="1:2" x14ac:dyDescent="0.25">
      <c r="A10" s="4" t="s">
        <v>30</v>
      </c>
      <c r="B10" s="4" t="str">
        <f t="shared" si="0"/>
        <v>microsoft</v>
      </c>
    </row>
  </sheetData>
  <hyperlinks>
    <hyperlink ref="A9" r:id="rId1" xr:uid="{CE5AF7FD-E907-4E65-A771-31B280909FBD}"/>
    <hyperlink ref="A10" r:id="rId2" xr:uid="{D4357E43-804E-4E81-86A0-8CE1DB616523}"/>
    <hyperlink ref="A4" r:id="rId3" xr:uid="{4D924C6F-DEF9-4D3A-BBB6-BFF6D3F35597}"/>
    <hyperlink ref="A3" r:id="rId4" xr:uid="{3C503E25-C623-4281-A8AA-B3D731F7BA91}"/>
    <hyperlink ref="A6" r:id="rId5" xr:uid="{0B19A433-9A5F-4CCE-9260-9879F0553935}"/>
    <hyperlink ref="A5" r:id="rId6" xr:uid="{732263E2-7948-40E7-888C-2BBC925C5DE3}"/>
    <hyperlink ref="A2" r:id="rId7" xr:uid="{6408E48B-D242-4088-87E1-6F7C5F7CB96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Funções de Texto - Resumo</vt:lpstr>
      <vt:lpstr>EX1</vt:lpstr>
      <vt:lpstr>EX2</vt:lpstr>
      <vt:lpstr>EX3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Pinheiro</dc:creator>
  <cp:lastModifiedBy>Vichinheski Maria (CtP/ETS)</cp:lastModifiedBy>
  <dcterms:created xsi:type="dcterms:W3CDTF">2015-06-05T18:19:34Z</dcterms:created>
  <dcterms:modified xsi:type="dcterms:W3CDTF">2026-01-15T12:23:03Z</dcterms:modified>
</cp:coreProperties>
</file>